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0-Repositorios\Biblioteca-de-Migracoes-de-Dados\Docs - MIT'S e Documentos Importantes\"/>
    </mc:Choice>
  </mc:AlternateContent>
  <xr:revisionPtr revIDLastSave="0" documentId="13_ncr:1_{EBF03142-1294-4EFC-9206-EB4382ADC7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  <sheet name="HOM" sheetId="2" r:id="rId2"/>
    <sheet name="H1" sheetId="3" r:id="rId3"/>
    <sheet name="PRD" sheetId="9" r:id="rId4"/>
    <sheet name="P1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O5OeDgFuoWvwCkP44VB94nNyGMboMK5m7yad9TGQRh4="/>
    </ext>
  </extLst>
</workbook>
</file>

<file path=xl/calcChain.xml><?xml version="1.0" encoding="utf-8"?>
<calcChain xmlns="http://schemas.openxmlformats.org/spreadsheetml/2006/main">
  <c r="H18" i="10" l="1"/>
  <c r="H17" i="10"/>
  <c r="E17" i="10"/>
  <c r="H16" i="10"/>
  <c r="E16" i="10"/>
  <c r="H15" i="10"/>
  <c r="E15" i="10"/>
  <c r="H14" i="10"/>
  <c r="E14" i="10"/>
  <c r="H13" i="10"/>
  <c r="E13" i="10"/>
  <c r="H12" i="10"/>
  <c r="E12" i="10"/>
  <c r="H11" i="10"/>
  <c r="E11" i="10"/>
  <c r="H10" i="10"/>
  <c r="E10" i="10"/>
  <c r="H9" i="10"/>
  <c r="E9" i="10"/>
  <c r="H8" i="10"/>
  <c r="E8" i="10"/>
  <c r="H7" i="10"/>
  <c r="E7" i="10"/>
  <c r="H6" i="10"/>
  <c r="E6" i="10"/>
  <c r="H5" i="10"/>
  <c r="E5" i="10"/>
  <c r="H4" i="10"/>
  <c r="E4" i="10"/>
  <c r="H3" i="10"/>
  <c r="E3" i="10"/>
  <c r="J18" i="9"/>
  <c r="F4" i="9"/>
  <c r="E4" i="9"/>
  <c r="D4" i="9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H3" i="3"/>
  <c r="H18" i="3" s="1"/>
  <c r="E3" i="3"/>
  <c r="J18" i="2"/>
  <c r="G4" i="2"/>
  <c r="F4" i="2"/>
  <c r="E4" i="2"/>
  <c r="D4" i="2"/>
</calcChain>
</file>

<file path=xl/sharedStrings.xml><?xml version="1.0" encoding="utf-8"?>
<sst xmlns="http://schemas.openxmlformats.org/spreadsheetml/2006/main" count="166" uniqueCount="81">
  <si>
    <t>HOMOLOGAÇÃO</t>
  </si>
  <si>
    <t>DEST</t>
  </si>
  <si>
    <t>ORI</t>
  </si>
  <si>
    <t>ERROS</t>
  </si>
  <si>
    <t>INICIO</t>
  </si>
  <si>
    <t>FIM</t>
  </si>
  <si>
    <t>TEMPO</t>
  </si>
  <si>
    <t>OBS DE CARGA DAS TABELAS</t>
  </si>
  <si>
    <t>01-FUNCIONARIO</t>
  </si>
  <si>
    <t>CONTROLE DE-PARA</t>
  </si>
  <si>
    <t xml:space="preserve">*COLOCAR RESULTADO DA TABELA: ZDEPARA_COLIGADAS </t>
  </si>
  <si>
    <t>CARGA</t>
  </si>
  <si>
    <t>*COLOCAR RESULTADO DO SCRIPT: 400-ANALISE QUANTITATIVA_PRÉ_MIGRAÇÃO.sql</t>
  </si>
  <si>
    <t>EMCODEMP</t>
  </si>
  <si>
    <t>EMNOMEMP</t>
  </si>
  <si>
    <t>Sistema Legado</t>
  </si>
  <si>
    <t>CNPJ</t>
  </si>
  <si>
    <t>ATIVO</t>
  </si>
  <si>
    <t>SGBD</t>
  </si>
  <si>
    <t>Bak Recebido</t>
  </si>
  <si>
    <t>INATIVO</t>
  </si>
  <si>
    <t>Extração Iniciada</t>
  </si>
  <si>
    <t>TOTAL</t>
  </si>
  <si>
    <t>Enviado DE-PARA</t>
  </si>
  <si>
    <t>Recebido DE-PARA</t>
  </si>
  <si>
    <t>Homologação</t>
  </si>
  <si>
    <t>CODCOLIGADA</t>
  </si>
  <si>
    <t>02-DEPENDENTE</t>
  </si>
  <si>
    <t>03-PERIODO AQUISITIVO DE FERIAS</t>
  </si>
  <si>
    <t>FORTES</t>
  </si>
  <si>
    <t>SQL SERVER</t>
  </si>
  <si>
    <t>04-PERIODO DE GOZO DE FERIAS</t>
  </si>
  <si>
    <t>05-RECIBO DE FERIAS</t>
  </si>
  <si>
    <t>06-VERBAS DE FERIAS</t>
  </si>
  <si>
    <t>07-HISTORICO DE SALARIO</t>
  </si>
  <si>
    <t>08-HISTORICO DE SITUACAO</t>
  </si>
  <si>
    <t>09-HISTORICO DE CONTRIBUICAO SINDICAL</t>
  </si>
  <si>
    <t>Go live</t>
  </si>
  <si>
    <t>10-HISTORICO DE DEPENDENTES</t>
  </si>
  <si>
    <t>11-HISTORICO DE FUNCAO</t>
  </si>
  <si>
    <t>12-HISTORICO DE AFASTAMENTO</t>
  </si>
  <si>
    <t>13-HISTORICO DE SECAO</t>
  </si>
  <si>
    <t>15-PERIODOS DA FICHA FINANCEIRA</t>
  </si>
  <si>
    <t>16-FICHA FINANCEIRA</t>
  </si>
  <si>
    <t>Checklist (Pré-Migração)</t>
  </si>
  <si>
    <t>Restaurar Bak atualizado</t>
  </si>
  <si>
    <t>Ver configuração máscara da chapa</t>
  </si>
  <si>
    <t>Ver configuração nº de registro</t>
  </si>
  <si>
    <t xml:space="preserve">  </t>
  </si>
  <si>
    <t>Criar ZDEPARA_COLIGADAS</t>
  </si>
  <si>
    <t>*COLOCAR RESULTADO DO SCRIPT: 999-QTD-DADOS-MIT53.sql</t>
  </si>
  <si>
    <t>Importar DE-PARA</t>
  </si>
  <si>
    <t>Criar ZDEPARA_PFUNC</t>
  </si>
  <si>
    <t>001-Extração de DE-PARA-FUNCOES</t>
  </si>
  <si>
    <t>Criar ZMIGRA_PFUNC</t>
  </si>
  <si>
    <t>002-Extração de DE-PARA-SECOES</t>
  </si>
  <si>
    <t>Executar Validar Dados</t>
  </si>
  <si>
    <t>003-Extração de DE-PARA-EVENTOS</t>
  </si>
  <si>
    <t>Ver competência FOLHA no RM</t>
  </si>
  <si>
    <t>004-Extração de DE-PARA-SINDICATOS</t>
  </si>
  <si>
    <t>Carga de funcionários, históricos, férias e ficha</t>
  </si>
  <si>
    <t>005-Extração de DE-PARA-SITUACAO</t>
  </si>
  <si>
    <t>Análise Quantitativa</t>
  </si>
  <si>
    <t>006-Extração de DE-PARA-BANCOS</t>
  </si>
  <si>
    <t>Envio do relatório</t>
  </si>
  <si>
    <t>007-Extração de DE-PARA-HORARIO</t>
  </si>
  <si>
    <t>008-Extração de DE-PARA-PERIODO_FOLHA</t>
  </si>
  <si>
    <t>PRODUÇÃO</t>
  </si>
  <si>
    <t>03-PERIODO AQUISITIVO DE FÉRIAS</t>
  </si>
  <si>
    <t>04-PERIODO DE GOZO DE FÉRIAS</t>
  </si>
  <si>
    <t>05-RECIBO DE FÉRIAS</t>
  </si>
  <si>
    <t>06-VERBAS DE FÉRIAS</t>
  </si>
  <si>
    <t>07-HISTÓRICO DE SALÁRIO</t>
  </si>
  <si>
    <t>08-HISTÓRICO DE SITUAÇÃO</t>
  </si>
  <si>
    <t>09-HISTÓRICO DE CONTRIBUIÇÃO SINDICAL</t>
  </si>
  <si>
    <t>10-HISTÓRICO DE DEPENDENTES</t>
  </si>
  <si>
    <t>11-HISTÓRICO DE FUNÇÃO</t>
  </si>
  <si>
    <t>12-HISTÓRICO DE AFASTAMENTO</t>
  </si>
  <si>
    <t>13-HISTÓRICO DE SEÇÃO</t>
  </si>
  <si>
    <t>14-PERIODOS DA FICHA FINANCEIRA</t>
  </si>
  <si>
    <t>15-FICHA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</si>
</sst>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9"/>
      <color theme="1"/>
      <name val="Verdana"/>
    </font>
    <font>
      <b/>
      <sz val="9"/>
      <color theme="1"/>
      <name val="Verdana"/>
    </font>
    <font>
      <b/>
      <sz val="9"/>
      <color rgb="FFFF0000"/>
      <name val="Verdana"/>
    </font>
    <font>
      <b/>
      <sz val="9"/>
      <color theme="0"/>
      <name val="Verdana"/>
    </font>
    <font>
      <sz val="11"/>
      <name val="Calibri"/>
    </font>
    <font>
      <i/>
      <sz val="9"/>
      <color theme="1"/>
      <name val="Verdana"/>
    </font>
    <font>
      <sz val="9"/>
      <color rgb="FFFF0000"/>
      <name val="Verdana"/>
    </font>
    <font>
      <sz val="11"/>
      <color theme="1"/>
      <name val="Calibri"/>
      <scheme val="minor"/>
    </font>
    <font>
      <b/>
      <sz val="9"/>
      <color rgb="FF980000"/>
      <name val="Verdana"/>
    </font>
    <font>
      <i/>
      <sz val="9"/>
      <color rgb="FF000000"/>
      <name val="Verdana"/>
    </font>
    <font>
      <sz val="11"/>
      <color theme="1"/>
      <name val="Calibri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2F5496"/>
        <bgColor rgb="FF2F5496"/>
      </patternFill>
    </fill>
    <fill>
      <patternFill patternType="solid">
        <fgColor rgb="FFE8F0FE"/>
        <bgColor rgb="FFE8F0FE"/>
      </patternFill>
    </fill>
    <fill>
      <patternFill patternType="solid">
        <fgColor theme="7"/>
        <bgColor theme="7"/>
      </patternFill>
    </fill>
    <fill>
      <patternFill patternType="solid">
        <fgColor rgb="FF44546A"/>
        <bgColor rgb="FF44546A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0" fontId="1" fillId="2" borderId="1" xfId="0" applyFont="1" applyFill="1" applyBorder="1"/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49" fontId="1" fillId="0" borderId="2" xfId="0" applyNumberFormat="1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0" fontId="2" fillId="9" borderId="2" xfId="0" applyFont="1" applyFill="1" applyBorder="1" applyAlignment="1">
      <alignment horizontal="center"/>
    </xf>
    <xf numFmtId="49" fontId="6" fillId="0" borderId="0" xfId="0" applyNumberFormat="1" applyFont="1" applyAlignment="1">
      <alignment vertical="center"/>
    </xf>
    <xf numFmtId="1" fontId="7" fillId="6" borderId="2" xfId="0" applyNumberFormat="1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wrapText="1"/>
    </xf>
    <xf numFmtId="49" fontId="2" fillId="0" borderId="0" xfId="0" applyNumberFormat="1" applyFont="1" applyAlignment="1">
      <alignment horizontal="center" vertical="center"/>
    </xf>
    <xf numFmtId="46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/>
    <xf numFmtId="46" fontId="1" fillId="0" borderId="2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12" borderId="2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0" fillId="2" borderId="1" xfId="0" applyFont="1" applyFill="1" applyBorder="1"/>
    <xf numFmtId="20" fontId="8" fillId="0" borderId="0" xfId="0" applyNumberFormat="1" applyFont="1" applyAlignment="1"/>
    <xf numFmtId="0" fontId="2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16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1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12" fillId="0" borderId="2" xfId="0" applyNumberFormat="1" applyFont="1" applyBorder="1" applyAlignment="1"/>
    <xf numFmtId="49" fontId="2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1" fillId="0" borderId="0" xfId="0" applyFont="1" applyAlignment="1"/>
    <xf numFmtId="0" fontId="1" fillId="0" borderId="2" xfId="0" applyFont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17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49" fontId="11" fillId="0" borderId="0" xfId="0" applyNumberFormat="1" applyFont="1" applyAlignment="1"/>
    <xf numFmtId="0" fontId="2" fillId="17" borderId="2" xfId="0" applyFont="1" applyFill="1" applyBorder="1" applyAlignment="1">
      <alignment horizontal="center" vertical="center"/>
    </xf>
    <xf numFmtId="49" fontId="12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4" fillId="7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49" fontId="2" fillId="3" borderId="3" xfId="0" applyNumberFormat="1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/>
    </xf>
    <xf numFmtId="0" fontId="0" fillId="0" borderId="0" xfId="0" applyFont="1" applyAlignment="1"/>
    <xf numFmtId="49" fontId="2" fillId="17" borderId="3" xfId="0" applyNumberFormat="1" applyFont="1" applyFill="1" applyBorder="1" applyAlignment="1">
      <alignment horizontal="center" vertical="center"/>
    </xf>
    <xf numFmtId="49" fontId="2" fillId="17" borderId="6" xfId="0" applyNumberFormat="1" applyFont="1" applyFill="1" applyBorder="1" applyAlignment="1">
      <alignment horizontal="center" vertical="center"/>
    </xf>
    <xf numFmtId="0" fontId="5" fillId="0" borderId="7" xfId="0" applyFont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left style="thin">
          <color rgb="FF5B95F9"/>
        </left>
        <right style="thin">
          <color rgb="FF5B95F9"/>
        </right>
        <top style="thin">
          <color rgb="FF5B95F9"/>
        </top>
        <bottom style="thin">
          <color rgb="FF5B95F9"/>
        </bottom>
      </border>
    </dxf>
    <dxf>
      <fill>
        <patternFill patternType="solid">
          <fgColor rgb="FFACC9FE"/>
          <bgColor rgb="FFACC9FE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border>
        <left style="thin">
          <color rgb="FF5B95F9"/>
        </left>
        <right style="thin">
          <color rgb="FF5B95F9"/>
        </right>
        <top style="thin">
          <color rgb="FF5B95F9"/>
        </top>
        <bottom style="thin">
          <color rgb="FF5B95F9"/>
        </bottom>
      </border>
    </dxf>
    <dxf>
      <fill>
        <patternFill patternType="solid">
          <fgColor rgb="FFACC9FE"/>
          <bgColor rgb="FFACC9FE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HOM-style" pivot="0" count="5" xr9:uid="{00000000-0011-0000-FFFF-FFFF00000000}">
      <tableStyleElement type="wholeTable" size="0" dxfId="12"/>
      <tableStyleElement type="headerRow" dxfId="16"/>
      <tableStyleElement type="totalRow" dxfId="13"/>
      <tableStyleElement type="firstRowStripe" dxfId="15"/>
      <tableStyleElement type="secondRowStripe" dxfId="14"/>
    </tableStyle>
    <tableStyle name="PRD-style" pivot="0" count="5" xr9:uid="{00000000-0011-0000-FFFF-FFFF01000000}">
      <tableStyleElement type="wholeTable" size="0" dxfId="7"/>
      <tableStyleElement type="headerRow" dxfId="11"/>
      <tableStyleElement type="totalRow" dxfId="8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4" insertRow="1" totalsRowCount="1">
  <tableColumns count="7">
    <tableColumn id="1" xr3:uid="{00000000-0010-0000-0000-000001000000}" name="EMCODEMP" totalsRowDxfId="6"/>
    <tableColumn id="2" xr3:uid="{00000000-0010-0000-0000-000002000000}" name="EMNOMEMP" totalsRowDxfId="5"/>
    <tableColumn id="3" xr3:uid="{00000000-0010-0000-0000-000003000000}" name="CNPJ" totalsRowDxfId="4"/>
    <tableColumn id="4" xr3:uid="{00000000-0010-0000-0000-000004000000}" name="ATIVO" totalsRowFunction="custom" totalsRowDxfId="3">
      <totalsRowFormula>SUM(Table_1[ATIVO])</totalsRowFormula>
    </tableColumn>
    <tableColumn id="5" xr3:uid="{00000000-0010-0000-0000-000005000000}" name="INATIVO" totalsRowFunction="custom" totalsRowDxfId="2">
      <totalsRowFormula>SUM(Table_1[INATIVO])</totalsRowFormula>
    </tableColumn>
    <tableColumn id="6" xr3:uid="{00000000-0010-0000-0000-000006000000}" name="TOTAL" totalsRowFunction="custom" totalsRowDxfId="1">
      <totalsRowFormula>SUM(Table_1[TOTAL])</totalsRowFormula>
    </tableColumn>
    <tableColumn id="7" xr3:uid="{00000000-0010-0000-0000-000007000000}" name="CODCOLIGADA" totalsRowFunction="custom" totalsRowDxfId="0">
      <totalsRowFormula>COUNTA(Table_1[CODCOLIGADA])</totalsRowFormula>
    </tableColumn>
  </tableColumns>
  <tableStyleInfo name="HO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4" totalsRowCount="1">
  <tableColumns count="7">
    <tableColumn id="1" xr3:uid="{00000000-0010-0000-0100-000001000000}" name="EMCODEMP"/>
    <tableColumn id="2" xr3:uid="{00000000-0010-0000-0100-000002000000}" name="EMNOMEMP"/>
    <tableColumn id="3" xr3:uid="{00000000-0010-0000-0100-000003000000}" name="CNPJ"/>
    <tableColumn id="4" xr3:uid="{00000000-0010-0000-0100-000004000000}" name="ATIVO" totalsRowFunction="custom">
      <totalsRowFormula>SUM(D3:D3)</totalsRowFormula>
    </tableColumn>
    <tableColumn id="5" xr3:uid="{00000000-0010-0000-0100-000005000000}" name="INATIVO" totalsRowFunction="custom">
      <totalsRowFormula>SUM(E3:E3)</totalsRowFormula>
    </tableColumn>
    <tableColumn id="6" xr3:uid="{00000000-0010-0000-0100-000006000000}" name="TOTAL" totalsRowFunction="custom">
      <totalsRowFormula>SUM(F3:F3)</totalsRowFormula>
    </tableColumn>
    <tableColumn id="7" xr3:uid="{00000000-0010-0000-0100-000007000000}" name="CODCOLIGADA"/>
  </tableColumns>
  <tableStyleInfo name="P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D4" sqref="D4"/>
    </sheetView>
  </sheetViews>
  <sheetFormatPr defaultColWidth="14.42578125" defaultRowHeight="15" customHeight="1"/>
  <cols>
    <col min="1" max="1" width="9.140625" customWidth="1"/>
    <col min="2" max="8" width="20.7109375" customWidth="1"/>
    <col min="9" max="24" width="8.7109375" customWidth="1"/>
  </cols>
  <sheetData>
    <row r="1" spans="1:24">
      <c r="A1" s="2"/>
      <c r="B1" s="2"/>
      <c r="C1" s="2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12"/>
      <c r="C2" s="12"/>
      <c r="D2" s="80" t="s">
        <v>9</v>
      </c>
      <c r="E2" s="81"/>
      <c r="F2" s="81"/>
      <c r="G2" s="82"/>
      <c r="H2" s="17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3"/>
      <c r="B3" s="25" t="s">
        <v>15</v>
      </c>
      <c r="C3" s="25" t="s">
        <v>18</v>
      </c>
      <c r="D3" s="26" t="s">
        <v>19</v>
      </c>
      <c r="E3" s="26" t="s">
        <v>21</v>
      </c>
      <c r="F3" s="26" t="s">
        <v>23</v>
      </c>
      <c r="G3" s="26" t="s">
        <v>24</v>
      </c>
      <c r="H3" s="27" t="s">
        <v>25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>
      <c r="A4" s="2"/>
      <c r="B4" s="33" t="s">
        <v>29</v>
      </c>
      <c r="C4" s="33" t="s">
        <v>30</v>
      </c>
      <c r="D4" s="34"/>
      <c r="E4" s="34"/>
      <c r="F4" s="34"/>
      <c r="G4" s="34"/>
      <c r="H4" s="35"/>
      <c r="I4" s="3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/>
      <c r="B5" s="2"/>
      <c r="C5" s="2"/>
      <c r="D5" s="4"/>
      <c r="E5" s="4"/>
      <c r="F5" s="4"/>
      <c r="G5" s="4"/>
      <c r="H5" s="4"/>
      <c r="I5" s="2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/>
      <c r="B6" s="2"/>
      <c r="C6" s="2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/>
      <c r="B7" s="12"/>
      <c r="C7" s="12"/>
      <c r="D7" s="80" t="s">
        <v>9</v>
      </c>
      <c r="E7" s="81"/>
      <c r="F7" s="81"/>
      <c r="G7" s="82"/>
      <c r="H7" s="40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/>
      <c r="B8" s="25" t="s">
        <v>15</v>
      </c>
      <c r="C8" s="25" t="s">
        <v>18</v>
      </c>
      <c r="D8" s="26" t="s">
        <v>19</v>
      </c>
      <c r="E8" s="26" t="s">
        <v>21</v>
      </c>
      <c r="F8" s="26" t="s">
        <v>23</v>
      </c>
      <c r="G8" s="26" t="s">
        <v>24</v>
      </c>
      <c r="H8" s="41" t="s">
        <v>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/>
      <c r="B9" s="33" t="s">
        <v>29</v>
      </c>
      <c r="C9" s="33" t="s">
        <v>30</v>
      </c>
      <c r="D9" s="42"/>
      <c r="E9" s="42"/>
      <c r="F9" s="42"/>
      <c r="G9" s="43"/>
      <c r="H9" s="4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G2"/>
    <mergeCell ref="D7:G7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000"/>
  <sheetViews>
    <sheetView topLeftCell="C9" workbookViewId="0">
      <selection activeCell="J22" sqref="J22:J29"/>
    </sheetView>
  </sheetViews>
  <sheetFormatPr defaultColWidth="14.42578125" defaultRowHeight="15" customHeight="1"/>
  <cols>
    <col min="1" max="1" width="25.140625" customWidth="1"/>
    <col min="2" max="2" width="44.5703125" customWidth="1"/>
    <col min="3" max="3" width="21.42578125" customWidth="1"/>
    <col min="4" max="6" width="16.5703125" customWidth="1"/>
    <col min="7" max="7" width="19.140625" customWidth="1"/>
    <col min="8" max="8" width="10.7109375" customWidth="1"/>
    <col min="9" max="9" width="44.28515625" customWidth="1"/>
    <col min="10" max="10" width="18.28515625" customWidth="1"/>
    <col min="11" max="11" width="10.7109375" customWidth="1"/>
  </cols>
  <sheetData>
    <row r="1" spans="1:11">
      <c r="A1" s="3"/>
      <c r="B1" s="16" t="s">
        <v>10</v>
      </c>
      <c r="C1" s="3"/>
      <c r="D1" s="3"/>
      <c r="E1" s="3"/>
      <c r="F1" s="3"/>
      <c r="G1" s="3"/>
      <c r="H1" s="1"/>
      <c r="I1" s="18" t="s">
        <v>12</v>
      </c>
      <c r="J1" s="3"/>
      <c r="K1" s="1"/>
    </row>
    <row r="2" spans="1:11">
      <c r="A2" s="21" t="s">
        <v>13</v>
      </c>
      <c r="B2" s="21" t="s">
        <v>14</v>
      </c>
      <c r="C2" s="21" t="s">
        <v>16</v>
      </c>
      <c r="D2" s="21" t="s">
        <v>17</v>
      </c>
      <c r="E2" s="21" t="s">
        <v>20</v>
      </c>
      <c r="F2" s="21" t="s">
        <v>22</v>
      </c>
      <c r="G2" s="21" t="s">
        <v>26</v>
      </c>
      <c r="H2" s="1"/>
      <c r="I2" s="83" t="s">
        <v>0</v>
      </c>
      <c r="J2" s="82"/>
      <c r="K2" s="1"/>
    </row>
    <row r="3" spans="1:11">
      <c r="A3" s="30"/>
      <c r="B3" s="31"/>
      <c r="C3" s="30"/>
      <c r="D3" s="32"/>
      <c r="E3" s="32"/>
      <c r="F3" s="32"/>
      <c r="G3" s="30"/>
      <c r="H3" s="3"/>
      <c r="I3" s="13" t="s">
        <v>8</v>
      </c>
      <c r="J3" s="37"/>
      <c r="K3" s="3"/>
    </row>
    <row r="4" spans="1:11">
      <c r="A4" s="45"/>
      <c r="B4" s="46"/>
      <c r="C4" s="45"/>
      <c r="D4" s="48">
        <f>SUM(Table_1[ATIVO])</f>
        <v>0</v>
      </c>
      <c r="E4" s="48">
        <f>SUM(Table_1[INATIVO])</f>
        <v>0</v>
      </c>
      <c r="F4" s="48">
        <f>SUM(Table_1[TOTAL])</f>
        <v>0</v>
      </c>
      <c r="G4" s="48">
        <f>COUNTA(Table_1[CODCOLIGADA])</f>
        <v>0</v>
      </c>
      <c r="H4" s="28"/>
      <c r="I4" s="13" t="s">
        <v>27</v>
      </c>
      <c r="J4" s="37"/>
      <c r="K4" s="28"/>
    </row>
    <row r="5" spans="1:11">
      <c r="H5" s="28"/>
      <c r="I5" s="13" t="s">
        <v>28</v>
      </c>
      <c r="J5" s="37"/>
      <c r="K5" s="28"/>
    </row>
    <row r="6" spans="1:11">
      <c r="H6" s="28"/>
      <c r="I6" s="13" t="s">
        <v>31</v>
      </c>
      <c r="J6" s="37"/>
      <c r="K6" s="28"/>
    </row>
    <row r="7" spans="1:11">
      <c r="H7" s="28"/>
      <c r="I7" s="13" t="s">
        <v>32</v>
      </c>
      <c r="J7" s="37"/>
      <c r="K7" s="28"/>
    </row>
    <row r="8" spans="1:11">
      <c r="A8" s="50"/>
      <c r="B8" s="51"/>
      <c r="C8" s="51"/>
      <c r="D8" s="51"/>
      <c r="E8" s="51"/>
      <c r="F8" s="3"/>
      <c r="G8" s="1"/>
      <c r="H8" s="28"/>
      <c r="I8" s="13" t="s">
        <v>33</v>
      </c>
      <c r="J8" s="37"/>
      <c r="K8" s="28"/>
    </row>
    <row r="9" spans="1:11">
      <c r="A9" s="51"/>
      <c r="B9" s="51"/>
      <c r="C9" s="51"/>
      <c r="D9" s="51"/>
      <c r="E9" s="51"/>
      <c r="F9" s="51"/>
      <c r="G9" s="1"/>
      <c r="H9" s="28"/>
      <c r="I9" s="13" t="s">
        <v>34</v>
      </c>
      <c r="J9" s="37"/>
      <c r="K9" s="28"/>
    </row>
    <row r="10" spans="1:11">
      <c r="A10" s="51"/>
      <c r="B10" s="51"/>
      <c r="C10" s="51"/>
      <c r="D10" s="51"/>
      <c r="E10" s="51"/>
      <c r="F10" s="51"/>
      <c r="G10" s="1"/>
      <c r="H10" s="28"/>
      <c r="I10" s="13" t="s">
        <v>35</v>
      </c>
      <c r="J10" s="37"/>
      <c r="K10" s="28"/>
    </row>
    <row r="11" spans="1:11">
      <c r="A11" s="84" t="s">
        <v>44</v>
      </c>
      <c r="B11" s="85"/>
      <c r="C11" s="85"/>
      <c r="D11" s="51"/>
      <c r="E11" s="51"/>
      <c r="F11" s="51"/>
      <c r="G11" s="1"/>
      <c r="H11" s="28"/>
      <c r="I11" s="13" t="s">
        <v>36</v>
      </c>
      <c r="J11" s="37"/>
      <c r="K11" s="28"/>
    </row>
    <row r="12" spans="1:11">
      <c r="A12" s="52" t="b">
        <v>1</v>
      </c>
      <c r="B12" s="53" t="s">
        <v>45</v>
      </c>
      <c r="D12" s="51"/>
      <c r="E12" s="51"/>
      <c r="F12" s="51"/>
      <c r="G12" s="1"/>
      <c r="H12" s="28"/>
      <c r="I12" s="13" t="s">
        <v>38</v>
      </c>
      <c r="J12" s="37"/>
      <c r="K12" s="28"/>
    </row>
    <row r="13" spans="1:11">
      <c r="A13" s="52" t="b">
        <v>1</v>
      </c>
      <c r="B13" s="54" t="s">
        <v>46</v>
      </c>
      <c r="D13" s="51"/>
      <c r="E13" s="51"/>
      <c r="F13" s="51"/>
      <c r="G13" s="1"/>
      <c r="H13" s="28"/>
      <c r="I13" s="13" t="s">
        <v>39</v>
      </c>
      <c r="J13" s="37"/>
      <c r="K13" s="28"/>
    </row>
    <row r="14" spans="1:11">
      <c r="A14" s="52" t="b">
        <v>1</v>
      </c>
      <c r="B14" s="54" t="s">
        <v>47</v>
      </c>
      <c r="D14" s="51"/>
      <c r="E14" s="1" t="s">
        <v>48</v>
      </c>
      <c r="F14" s="1"/>
      <c r="G14" s="1"/>
      <c r="H14" s="28"/>
      <c r="I14" s="13" t="s">
        <v>40</v>
      </c>
      <c r="J14" s="37"/>
      <c r="K14" s="28"/>
    </row>
    <row r="15" spans="1:11">
      <c r="A15" s="52" t="b">
        <v>1</v>
      </c>
      <c r="B15" s="53" t="s">
        <v>49</v>
      </c>
      <c r="D15" s="51"/>
      <c r="E15" s="1"/>
      <c r="F15" s="1"/>
      <c r="G15" s="1"/>
      <c r="H15" s="28"/>
      <c r="I15" s="13" t="s">
        <v>41</v>
      </c>
      <c r="J15" s="37"/>
      <c r="K15" s="28"/>
    </row>
    <row r="16" spans="1:11">
      <c r="A16" s="52" t="b">
        <v>1</v>
      </c>
      <c r="B16" s="54" t="s">
        <v>51</v>
      </c>
      <c r="D16" s="51"/>
      <c r="E16" s="1"/>
      <c r="F16" s="1"/>
      <c r="G16" s="1"/>
      <c r="H16" s="28"/>
      <c r="I16" s="13" t="s">
        <v>42</v>
      </c>
      <c r="J16" s="37"/>
      <c r="K16" s="28"/>
    </row>
    <row r="17" spans="1:11">
      <c r="A17" s="52" t="b">
        <v>1</v>
      </c>
      <c r="B17" s="54" t="s">
        <v>52</v>
      </c>
      <c r="D17" s="1"/>
      <c r="E17" s="1"/>
      <c r="F17" s="1"/>
      <c r="G17" s="1"/>
      <c r="H17" s="28"/>
      <c r="I17" s="13" t="s">
        <v>43</v>
      </c>
      <c r="J17" s="37"/>
      <c r="K17" s="28"/>
    </row>
    <row r="18" spans="1:11">
      <c r="A18" s="52" t="b">
        <v>1</v>
      </c>
      <c r="B18" s="54" t="s">
        <v>54</v>
      </c>
      <c r="D18" s="1"/>
      <c r="E18" s="1"/>
      <c r="F18" s="1"/>
      <c r="G18" s="1"/>
      <c r="H18" s="55"/>
      <c r="I18" s="13"/>
      <c r="J18" s="56">
        <f>SUM(J3:J17)</f>
        <v>0</v>
      </c>
      <c r="K18" s="55"/>
    </row>
    <row r="19" spans="1:11">
      <c r="A19" s="52" t="b">
        <v>1</v>
      </c>
      <c r="B19" s="53" t="s">
        <v>56</v>
      </c>
      <c r="D19" s="51"/>
      <c r="E19" s="51"/>
      <c r="F19" s="1"/>
      <c r="G19" s="1"/>
      <c r="H19" s="55"/>
    </row>
    <row r="20" spans="1:11">
      <c r="A20" s="52" t="b">
        <v>1</v>
      </c>
      <c r="B20" s="53" t="s">
        <v>58</v>
      </c>
      <c r="F20" s="1"/>
      <c r="G20" s="1"/>
      <c r="H20" s="1"/>
      <c r="I20" s="16" t="s">
        <v>50</v>
      </c>
      <c r="J20" s="3"/>
      <c r="K20" s="1"/>
    </row>
    <row r="21" spans="1:11" ht="15.75" customHeight="1">
      <c r="A21" s="52" t="b">
        <v>0</v>
      </c>
      <c r="B21" s="53" t="s">
        <v>60</v>
      </c>
      <c r="F21" s="1"/>
      <c r="G21" s="1"/>
      <c r="H21" s="3"/>
      <c r="I21" s="83" t="s">
        <v>0</v>
      </c>
      <c r="J21" s="82"/>
      <c r="K21" s="3"/>
    </row>
    <row r="22" spans="1:11" ht="15.75" customHeight="1">
      <c r="A22" s="62" t="b">
        <v>0</v>
      </c>
      <c r="B22" s="53" t="s">
        <v>62</v>
      </c>
      <c r="F22" s="1"/>
      <c r="G22" s="1"/>
      <c r="H22" s="3"/>
      <c r="I22" s="57" t="s">
        <v>53</v>
      </c>
      <c r="J22" s="58"/>
      <c r="K22" s="3"/>
    </row>
    <row r="23" spans="1:11" ht="15.75" customHeight="1">
      <c r="A23" s="62" t="b">
        <v>0</v>
      </c>
      <c r="B23" s="53" t="s">
        <v>64</v>
      </c>
      <c r="F23" s="1"/>
      <c r="G23" s="1"/>
      <c r="H23" s="3"/>
      <c r="I23" s="59" t="s">
        <v>55</v>
      </c>
      <c r="J23" s="58"/>
      <c r="K23" s="3"/>
    </row>
    <row r="24" spans="1:11" ht="15.75" customHeight="1">
      <c r="H24" s="3"/>
      <c r="I24" s="59" t="s">
        <v>57</v>
      </c>
      <c r="J24" s="58"/>
      <c r="K24" s="3"/>
    </row>
    <row r="25" spans="1:11" ht="15.75" customHeight="1">
      <c r="H25" s="3"/>
      <c r="I25" s="60" t="s">
        <v>59</v>
      </c>
      <c r="J25" s="61"/>
      <c r="K25" s="3"/>
    </row>
    <row r="26" spans="1:11" ht="15.75" customHeight="1">
      <c r="H26" s="3"/>
      <c r="I26" s="60" t="s">
        <v>61</v>
      </c>
      <c r="J26" s="61"/>
      <c r="K26" s="3"/>
    </row>
    <row r="27" spans="1:11" ht="15.75" customHeight="1">
      <c r="H27" s="3"/>
      <c r="I27" s="60" t="s">
        <v>63</v>
      </c>
      <c r="J27" s="61"/>
      <c r="K27" s="3"/>
    </row>
    <row r="28" spans="1:11" ht="15.75" customHeight="1">
      <c r="H28" s="1"/>
      <c r="I28" s="63" t="s">
        <v>65</v>
      </c>
      <c r="J28" s="61"/>
      <c r="K28" s="1"/>
    </row>
    <row r="29" spans="1:11" ht="15.75" customHeight="1">
      <c r="H29" s="1"/>
      <c r="I29" s="63" t="s">
        <v>66</v>
      </c>
      <c r="J29" s="61"/>
      <c r="K29" s="1"/>
    </row>
    <row r="30" spans="1:11" ht="15.75" customHeight="1">
      <c r="I30" s="1"/>
      <c r="J30" s="1"/>
    </row>
    <row r="31" spans="1:11" ht="15.75" customHeight="1">
      <c r="I31" s="1"/>
      <c r="J31" s="1"/>
    </row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:J2"/>
    <mergeCell ref="A11:C11"/>
    <mergeCell ref="I21:J21"/>
  </mergeCells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19"/>
  <sheetViews>
    <sheetView workbookViewId="0">
      <selection activeCell="I3" sqref="I3:I14"/>
    </sheetView>
  </sheetViews>
  <sheetFormatPr defaultColWidth="14.42578125" defaultRowHeight="15" customHeight="1"/>
  <cols>
    <col min="1" max="1" width="3.85546875" customWidth="1"/>
    <col min="2" max="2" width="44.28515625" customWidth="1"/>
    <col min="3" max="4" width="18.28515625" customWidth="1"/>
    <col min="5" max="6" width="17.7109375" customWidth="1"/>
    <col min="9" max="9" width="29.28515625" customWidth="1"/>
  </cols>
  <sheetData>
    <row r="1" spans="1:11">
      <c r="A1" s="1"/>
      <c r="B1" s="3"/>
      <c r="C1" s="3"/>
      <c r="D1" s="3"/>
      <c r="E1" s="1"/>
      <c r="F1" s="1"/>
    </row>
    <row r="2" spans="1:11">
      <c r="A2" s="1"/>
      <c r="B2" s="5" t="s">
        <v>0</v>
      </c>
      <c r="C2" s="6" t="s">
        <v>1</v>
      </c>
      <c r="D2" s="8" t="s">
        <v>2</v>
      </c>
      <c r="E2" s="10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1:11">
      <c r="A3" s="3"/>
      <c r="B3" s="13" t="s">
        <v>8</v>
      </c>
      <c r="C3" s="14"/>
      <c r="D3" s="15"/>
      <c r="E3" s="19">
        <f t="shared" ref="E3:E17" si="0">D3-C3</f>
        <v>0</v>
      </c>
      <c r="F3" s="22">
        <v>0</v>
      </c>
      <c r="G3" s="24">
        <v>0</v>
      </c>
      <c r="H3" s="22">
        <f t="shared" ref="H3:H17" si="1">G3-F3</f>
        <v>0</v>
      </c>
      <c r="I3" s="29"/>
    </row>
    <row r="4" spans="1:11">
      <c r="A4" s="28"/>
      <c r="B4" s="13" t="s">
        <v>27</v>
      </c>
      <c r="C4" s="14"/>
      <c r="D4" s="15"/>
      <c r="E4" s="19">
        <f t="shared" si="0"/>
        <v>0</v>
      </c>
      <c r="F4" s="24">
        <v>0</v>
      </c>
      <c r="G4" s="24">
        <v>0</v>
      </c>
      <c r="H4" s="22">
        <f t="shared" si="1"/>
        <v>0</v>
      </c>
      <c r="I4" s="47"/>
    </row>
    <row r="5" spans="1:11">
      <c r="A5" s="28"/>
      <c r="B5" s="13" t="s">
        <v>28</v>
      </c>
      <c r="C5" s="14"/>
      <c r="D5" s="15"/>
      <c r="E5" s="19">
        <f t="shared" si="0"/>
        <v>0</v>
      </c>
      <c r="F5" s="24">
        <v>0</v>
      </c>
      <c r="G5" s="24">
        <v>0</v>
      </c>
      <c r="H5" s="22">
        <f t="shared" si="1"/>
        <v>0</v>
      </c>
      <c r="I5" s="47"/>
    </row>
    <row r="6" spans="1:11">
      <c r="A6" s="28"/>
      <c r="B6" s="13" t="s">
        <v>31</v>
      </c>
      <c r="C6" s="14"/>
      <c r="D6" s="15"/>
      <c r="E6" s="19">
        <f t="shared" si="0"/>
        <v>0</v>
      </c>
      <c r="F6" s="24">
        <v>0</v>
      </c>
      <c r="G6" s="24">
        <v>0</v>
      </c>
      <c r="H6" s="22">
        <f t="shared" si="1"/>
        <v>0</v>
      </c>
      <c r="I6" s="47"/>
    </row>
    <row r="7" spans="1:11">
      <c r="A7" s="28"/>
      <c r="B7" s="13" t="s">
        <v>32</v>
      </c>
      <c r="C7" s="14"/>
      <c r="D7" s="15"/>
      <c r="E7" s="19">
        <f t="shared" si="0"/>
        <v>0</v>
      </c>
      <c r="F7" s="24">
        <v>0</v>
      </c>
      <c r="G7" s="24">
        <v>0</v>
      </c>
      <c r="H7" s="22">
        <f t="shared" si="1"/>
        <v>0</v>
      </c>
      <c r="I7" s="47"/>
      <c r="J7" s="39"/>
      <c r="K7" s="39"/>
    </row>
    <row r="8" spans="1:11">
      <c r="A8" s="28"/>
      <c r="B8" s="13" t="s">
        <v>33</v>
      </c>
      <c r="C8" s="14"/>
      <c r="D8" s="15"/>
      <c r="E8" s="19">
        <f t="shared" si="0"/>
        <v>0</v>
      </c>
      <c r="F8" s="24">
        <v>0</v>
      </c>
      <c r="G8" s="24">
        <v>0</v>
      </c>
      <c r="H8" s="22">
        <f t="shared" si="1"/>
        <v>0</v>
      </c>
      <c r="I8" s="47"/>
    </row>
    <row r="9" spans="1:11">
      <c r="A9" s="28"/>
      <c r="B9" s="13" t="s">
        <v>34</v>
      </c>
      <c r="C9" s="14"/>
      <c r="D9" s="15"/>
      <c r="E9" s="19">
        <f t="shared" si="0"/>
        <v>0</v>
      </c>
      <c r="F9" s="24">
        <v>0</v>
      </c>
      <c r="G9" s="24">
        <v>0</v>
      </c>
      <c r="H9" s="22">
        <f t="shared" si="1"/>
        <v>0</v>
      </c>
      <c r="I9" s="47"/>
    </row>
    <row r="10" spans="1:11">
      <c r="A10" s="28"/>
      <c r="B10" s="13" t="s">
        <v>35</v>
      </c>
      <c r="C10" s="14"/>
      <c r="D10" s="15"/>
      <c r="E10" s="19">
        <f t="shared" si="0"/>
        <v>0</v>
      </c>
      <c r="F10" s="24">
        <v>0</v>
      </c>
      <c r="G10" s="24">
        <v>0</v>
      </c>
      <c r="H10" s="22">
        <f t="shared" si="1"/>
        <v>0</v>
      </c>
      <c r="I10" s="47"/>
    </row>
    <row r="11" spans="1:11">
      <c r="A11" s="28"/>
      <c r="B11" s="13" t="s">
        <v>36</v>
      </c>
      <c r="C11" s="14"/>
      <c r="D11" s="15"/>
      <c r="E11" s="19">
        <f t="shared" si="0"/>
        <v>0</v>
      </c>
      <c r="F11" s="24">
        <v>0</v>
      </c>
      <c r="G11" s="24">
        <v>0</v>
      </c>
      <c r="H11" s="22">
        <f t="shared" si="1"/>
        <v>0</v>
      </c>
      <c r="I11" s="47"/>
    </row>
    <row r="12" spans="1:11">
      <c r="A12" s="28"/>
      <c r="B12" s="13" t="s">
        <v>38</v>
      </c>
      <c r="C12" s="14"/>
      <c r="D12" s="15"/>
      <c r="E12" s="19">
        <f t="shared" si="0"/>
        <v>0</v>
      </c>
      <c r="F12" s="24">
        <v>0</v>
      </c>
      <c r="G12" s="24">
        <v>0</v>
      </c>
      <c r="H12" s="22">
        <f t="shared" si="1"/>
        <v>0</v>
      </c>
      <c r="I12" s="47"/>
    </row>
    <row r="13" spans="1:11">
      <c r="A13" s="28"/>
      <c r="B13" s="13" t="s">
        <v>39</v>
      </c>
      <c r="C13" s="14"/>
      <c r="D13" s="15"/>
      <c r="E13" s="19">
        <f t="shared" si="0"/>
        <v>0</v>
      </c>
      <c r="F13" s="24">
        <v>0</v>
      </c>
      <c r="G13" s="24">
        <v>0</v>
      </c>
      <c r="H13" s="22">
        <f t="shared" si="1"/>
        <v>0</v>
      </c>
      <c r="I13" s="47"/>
    </row>
    <row r="14" spans="1:11">
      <c r="A14" s="28"/>
      <c r="B14" s="13" t="s">
        <v>40</v>
      </c>
      <c r="C14" s="14"/>
      <c r="D14" s="15"/>
      <c r="E14" s="19">
        <f t="shared" si="0"/>
        <v>0</v>
      </c>
      <c r="F14" s="24">
        <v>0</v>
      </c>
      <c r="G14" s="24">
        <v>0</v>
      </c>
      <c r="H14" s="22">
        <f t="shared" si="1"/>
        <v>0</v>
      </c>
      <c r="I14" s="47"/>
    </row>
    <row r="15" spans="1:11">
      <c r="A15" s="28"/>
      <c r="B15" s="13" t="s">
        <v>41</v>
      </c>
      <c r="C15" s="14"/>
      <c r="D15" s="15"/>
      <c r="E15" s="19">
        <f t="shared" si="0"/>
        <v>0</v>
      </c>
      <c r="F15" s="24">
        <v>0</v>
      </c>
      <c r="G15" s="24">
        <v>0</v>
      </c>
      <c r="H15" s="22">
        <f t="shared" si="1"/>
        <v>0</v>
      </c>
      <c r="I15" s="29"/>
    </row>
    <row r="16" spans="1:11">
      <c r="A16" s="28"/>
      <c r="B16" s="13" t="s">
        <v>42</v>
      </c>
      <c r="C16" s="14"/>
      <c r="D16" s="15"/>
      <c r="E16" s="19">
        <f t="shared" si="0"/>
        <v>0</v>
      </c>
      <c r="F16" s="24">
        <v>0</v>
      </c>
      <c r="G16" s="24">
        <v>0</v>
      </c>
      <c r="H16" s="22">
        <f t="shared" si="1"/>
        <v>0</v>
      </c>
      <c r="I16" s="29"/>
    </row>
    <row r="17" spans="1:9">
      <c r="A17" s="28"/>
      <c r="B17" s="13" t="s">
        <v>43</v>
      </c>
      <c r="C17" s="14"/>
      <c r="D17" s="15"/>
      <c r="E17" s="19">
        <f t="shared" si="0"/>
        <v>0</v>
      </c>
      <c r="F17" s="24">
        <v>0</v>
      </c>
      <c r="G17" s="24">
        <v>0</v>
      </c>
      <c r="H17" s="22">
        <f t="shared" si="1"/>
        <v>0</v>
      </c>
      <c r="I17" s="29"/>
    </row>
    <row r="18" spans="1:9">
      <c r="A18" s="28"/>
      <c r="B18" s="1"/>
      <c r="C18" s="49"/>
      <c r="D18" s="49"/>
      <c r="E18" s="28"/>
      <c r="F18" s="28"/>
      <c r="G18" s="28"/>
      <c r="H18" s="22">
        <f>SUM(H3:H17)</f>
        <v>0</v>
      </c>
      <c r="I18" s="29"/>
    </row>
    <row r="19" spans="1:9">
      <c r="A19" s="28"/>
      <c r="B19" s="1"/>
      <c r="C19" s="49"/>
      <c r="D19" s="49"/>
      <c r="E19" s="28"/>
      <c r="F19" s="28"/>
      <c r="G19" s="28"/>
      <c r="H19" s="28"/>
    </row>
  </sheetData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K1000"/>
  <sheetViews>
    <sheetView topLeftCell="B1" workbookViewId="0">
      <selection activeCell="I17" sqref="I17"/>
    </sheetView>
  </sheetViews>
  <sheetFormatPr defaultColWidth="14.42578125" defaultRowHeight="15" customHeight="1"/>
  <cols>
    <col min="1" max="1" width="25.140625" customWidth="1"/>
    <col min="2" max="2" width="44.5703125" customWidth="1"/>
    <col min="3" max="3" width="21.42578125" customWidth="1"/>
    <col min="4" max="7" width="16.5703125" customWidth="1"/>
    <col min="8" max="8" width="10.7109375" customWidth="1"/>
    <col min="9" max="9" width="44.28515625" customWidth="1"/>
    <col min="10" max="10" width="18.28515625" customWidth="1"/>
    <col min="11" max="11" width="10.7109375" customWidth="1"/>
  </cols>
  <sheetData>
    <row r="1" spans="1:11">
      <c r="A1" s="3"/>
      <c r="B1" s="16" t="s">
        <v>10</v>
      </c>
      <c r="C1" s="3"/>
      <c r="D1" s="3"/>
      <c r="E1" s="3"/>
      <c r="F1" s="3"/>
      <c r="G1" s="3"/>
      <c r="H1" s="1"/>
      <c r="I1" s="18" t="s">
        <v>12</v>
      </c>
      <c r="J1" s="3"/>
      <c r="K1" s="1"/>
    </row>
    <row r="2" spans="1:11">
      <c r="A2" s="21" t="s">
        <v>13</v>
      </c>
      <c r="B2" s="21" t="s">
        <v>14</v>
      </c>
      <c r="C2" s="21" t="s">
        <v>16</v>
      </c>
      <c r="D2" s="21" t="s">
        <v>17</v>
      </c>
      <c r="E2" s="21" t="s">
        <v>20</v>
      </c>
      <c r="F2" s="21" t="s">
        <v>22</v>
      </c>
      <c r="G2" s="21" t="s">
        <v>26</v>
      </c>
      <c r="H2" s="1"/>
      <c r="I2" s="86" t="s">
        <v>67</v>
      </c>
      <c r="J2" s="82"/>
      <c r="K2" s="1"/>
    </row>
    <row r="3" spans="1:11">
      <c r="A3" s="45"/>
      <c r="B3" s="46"/>
      <c r="C3" s="45"/>
      <c r="D3" s="64"/>
      <c r="E3" s="64"/>
      <c r="F3" s="64"/>
      <c r="G3" s="45"/>
      <c r="H3" s="3"/>
      <c r="I3" s="13" t="s">
        <v>8</v>
      </c>
      <c r="J3" s="65"/>
      <c r="K3" s="3"/>
    </row>
    <row r="4" spans="1:11">
      <c r="A4" s="69"/>
      <c r="B4" s="70"/>
      <c r="C4" s="70"/>
      <c r="D4" s="48">
        <f>SUM(D3:D3)</f>
        <v>0</v>
      </c>
      <c r="E4" s="48">
        <f>SUM(E3:E3)</f>
        <v>0</v>
      </c>
      <c r="F4" s="48">
        <f>SUM(F3:F3)</f>
        <v>0</v>
      </c>
      <c r="G4" s="71"/>
      <c r="H4" s="28"/>
      <c r="I4" s="13" t="s">
        <v>27</v>
      </c>
      <c r="J4" s="65"/>
      <c r="K4" s="28"/>
    </row>
    <row r="5" spans="1:11">
      <c r="A5" s="50"/>
      <c r="B5" s="51"/>
      <c r="C5" s="51"/>
      <c r="D5" s="51"/>
      <c r="E5" s="51"/>
      <c r="F5" s="3"/>
      <c r="G5" s="1"/>
      <c r="H5" s="28"/>
      <c r="I5" s="13" t="s">
        <v>68</v>
      </c>
      <c r="J5" s="65"/>
      <c r="K5" s="28"/>
    </row>
    <row r="6" spans="1:11">
      <c r="A6" s="51"/>
      <c r="B6" s="51"/>
      <c r="C6" s="51"/>
      <c r="D6" s="51"/>
      <c r="E6" s="51"/>
      <c r="F6" s="51"/>
      <c r="G6" s="1"/>
      <c r="H6" s="28"/>
      <c r="I6" s="13" t="s">
        <v>69</v>
      </c>
      <c r="J6" s="65"/>
      <c r="K6" s="28"/>
    </row>
    <row r="7" spans="1:11">
      <c r="A7" s="51"/>
      <c r="B7" s="51"/>
      <c r="C7" s="51"/>
      <c r="D7" s="51"/>
      <c r="E7" s="51"/>
      <c r="F7" s="51"/>
      <c r="G7" s="1"/>
      <c r="H7" s="28"/>
      <c r="I7" s="13" t="s">
        <v>70</v>
      </c>
      <c r="J7" s="65"/>
      <c r="K7" s="28"/>
    </row>
    <row r="8" spans="1:11">
      <c r="A8" s="84" t="s">
        <v>44</v>
      </c>
      <c r="B8" s="85"/>
      <c r="C8" s="85"/>
      <c r="D8" s="51"/>
      <c r="E8" s="51"/>
      <c r="F8" s="51"/>
      <c r="G8" s="1"/>
      <c r="H8" s="28"/>
      <c r="I8" s="13" t="s">
        <v>71</v>
      </c>
      <c r="J8" s="65"/>
      <c r="K8" s="28"/>
    </row>
    <row r="9" spans="1:11">
      <c r="A9" s="72" t="b">
        <v>0</v>
      </c>
      <c r="B9" s="53" t="s">
        <v>45</v>
      </c>
      <c r="C9" s="62"/>
      <c r="D9" s="51"/>
      <c r="E9" s="51"/>
      <c r="F9" s="51"/>
      <c r="G9" s="1"/>
      <c r="H9" s="28"/>
      <c r="I9" s="13" t="s">
        <v>72</v>
      </c>
      <c r="J9" s="65"/>
      <c r="K9" s="28"/>
    </row>
    <row r="10" spans="1:11">
      <c r="A10" s="72" t="b">
        <v>0</v>
      </c>
      <c r="B10" s="54" t="s">
        <v>46</v>
      </c>
      <c r="C10" s="73"/>
      <c r="D10" s="51"/>
      <c r="E10" s="51"/>
      <c r="F10" s="51"/>
      <c r="G10" s="1"/>
      <c r="H10" s="28"/>
      <c r="I10" s="13" t="s">
        <v>73</v>
      </c>
      <c r="J10" s="65"/>
      <c r="K10" s="28"/>
    </row>
    <row r="11" spans="1:11">
      <c r="A11" s="72" t="b">
        <v>0</v>
      </c>
      <c r="B11" s="54" t="s">
        <v>47</v>
      </c>
      <c r="C11" s="73"/>
      <c r="D11" s="51"/>
      <c r="E11" s="1" t="s">
        <v>48</v>
      </c>
      <c r="F11" s="1"/>
      <c r="G11" s="1"/>
      <c r="H11" s="28"/>
      <c r="I11" s="13" t="s">
        <v>74</v>
      </c>
      <c r="J11" s="65"/>
      <c r="K11" s="28"/>
    </row>
    <row r="12" spans="1:11">
      <c r="A12" s="72" t="b">
        <v>0</v>
      </c>
      <c r="B12" s="53" t="s">
        <v>49</v>
      </c>
      <c r="C12" s="62"/>
      <c r="D12" s="51"/>
      <c r="E12" s="1"/>
      <c r="F12" s="1"/>
      <c r="G12" s="1"/>
      <c r="H12" s="28"/>
      <c r="I12" s="13" t="s">
        <v>75</v>
      </c>
      <c r="J12" s="65"/>
      <c r="K12" s="28"/>
    </row>
    <row r="13" spans="1:11">
      <c r="A13" s="72" t="b">
        <v>0</v>
      </c>
      <c r="B13" s="54" t="s">
        <v>51</v>
      </c>
      <c r="C13" s="73"/>
      <c r="D13" s="51"/>
      <c r="E13" s="1"/>
      <c r="F13" s="1"/>
      <c r="G13" s="1"/>
      <c r="H13" s="28"/>
      <c r="I13" s="13" t="s">
        <v>76</v>
      </c>
      <c r="J13" s="65"/>
      <c r="K13" s="28"/>
    </row>
    <row r="14" spans="1:11">
      <c r="A14" s="72" t="b">
        <v>0</v>
      </c>
      <c r="B14" s="54" t="s">
        <v>52</v>
      </c>
      <c r="C14" s="73"/>
      <c r="D14" s="1"/>
      <c r="E14" s="1"/>
      <c r="F14" s="1"/>
      <c r="G14" s="1"/>
      <c r="H14" s="28"/>
      <c r="I14" s="13" t="s">
        <v>77</v>
      </c>
      <c r="J14" s="65"/>
      <c r="K14" s="28"/>
    </row>
    <row r="15" spans="1:11">
      <c r="A15" s="72" t="b">
        <v>0</v>
      </c>
      <c r="B15" s="54" t="s">
        <v>54</v>
      </c>
      <c r="C15" s="73"/>
      <c r="D15" s="1"/>
      <c r="E15" s="1"/>
      <c r="F15" s="1"/>
      <c r="G15" s="1"/>
      <c r="H15" s="28"/>
      <c r="I15" s="13" t="s">
        <v>78</v>
      </c>
      <c r="J15" s="65"/>
      <c r="K15" s="28"/>
    </row>
    <row r="16" spans="1:11">
      <c r="A16" s="72" t="b">
        <v>0</v>
      </c>
      <c r="B16" s="53" t="s">
        <v>56</v>
      </c>
      <c r="C16" s="62"/>
      <c r="D16" s="51"/>
      <c r="E16" s="51"/>
      <c r="F16" s="51"/>
      <c r="G16" s="51"/>
      <c r="H16" s="28"/>
      <c r="I16" s="13" t="s">
        <v>79</v>
      </c>
      <c r="J16" s="65"/>
      <c r="K16" s="28"/>
    </row>
    <row r="17" spans="1:11">
      <c r="A17" s="72" t="b">
        <v>0</v>
      </c>
      <c r="B17" s="53" t="s">
        <v>58</v>
      </c>
      <c r="C17" s="62"/>
      <c r="H17" s="28"/>
      <c r="I17" s="13" t="s">
        <v>80</v>
      </c>
      <c r="J17" s="65"/>
      <c r="K17" s="28"/>
    </row>
    <row r="18" spans="1:11">
      <c r="A18" s="72" t="b">
        <v>0</v>
      </c>
      <c r="B18" s="53" t="s">
        <v>60</v>
      </c>
      <c r="C18" s="62"/>
      <c r="H18" s="55"/>
      <c r="I18" s="13"/>
      <c r="J18" s="74">
        <f>SUM(J3:J17)</f>
        <v>0</v>
      </c>
      <c r="K18" s="55"/>
    </row>
    <row r="19" spans="1:11">
      <c r="A19" s="72" t="b">
        <v>0</v>
      </c>
      <c r="B19" s="53" t="s">
        <v>62</v>
      </c>
      <c r="C19" s="62"/>
      <c r="H19" s="55"/>
      <c r="I19" s="1"/>
      <c r="J19" s="3"/>
      <c r="K19" s="55"/>
    </row>
    <row r="20" spans="1:11">
      <c r="A20" s="72" t="b">
        <v>0</v>
      </c>
      <c r="B20" s="53" t="s">
        <v>64</v>
      </c>
      <c r="C20" s="62"/>
      <c r="H20" s="1"/>
      <c r="I20" s="16" t="s">
        <v>50</v>
      </c>
      <c r="K20" s="1"/>
    </row>
    <row r="21" spans="1:11" ht="15.75" customHeight="1">
      <c r="H21" s="3"/>
      <c r="I21" s="87" t="s">
        <v>67</v>
      </c>
      <c r="J21" s="88"/>
      <c r="K21" s="3"/>
    </row>
    <row r="22" spans="1:11" ht="15.75" customHeight="1">
      <c r="H22" s="3"/>
      <c r="I22" s="75" t="s">
        <v>53</v>
      </c>
      <c r="J22" s="76"/>
      <c r="K22" s="3"/>
    </row>
    <row r="23" spans="1:11" ht="15.75" customHeight="1">
      <c r="H23" s="3"/>
      <c r="I23" s="77" t="s">
        <v>55</v>
      </c>
      <c r="J23" s="76"/>
      <c r="K23" s="3"/>
    </row>
    <row r="24" spans="1:11" ht="15.75" customHeight="1">
      <c r="H24" s="3"/>
      <c r="I24" s="77" t="s">
        <v>57</v>
      </c>
      <c r="J24" s="76"/>
      <c r="K24" s="3"/>
    </row>
    <row r="25" spans="1:11" ht="15.75" customHeight="1">
      <c r="H25" s="3"/>
      <c r="I25" s="78" t="s">
        <v>59</v>
      </c>
      <c r="J25" s="76"/>
      <c r="K25" s="3"/>
    </row>
    <row r="26" spans="1:11" ht="15.75" customHeight="1">
      <c r="H26" s="3"/>
      <c r="I26" s="78" t="s">
        <v>61</v>
      </c>
      <c r="J26" s="76"/>
      <c r="K26" s="3"/>
    </row>
    <row r="27" spans="1:11" ht="15.75" customHeight="1">
      <c r="H27" s="3"/>
      <c r="I27" s="78" t="s">
        <v>63</v>
      </c>
      <c r="J27" s="76"/>
      <c r="K27" s="3"/>
    </row>
    <row r="28" spans="1:11" ht="15.75" customHeight="1">
      <c r="H28" s="1"/>
      <c r="I28" s="79" t="s">
        <v>65</v>
      </c>
      <c r="J28" s="76"/>
      <c r="K28" s="1"/>
    </row>
    <row r="29" spans="1:11" ht="15.75" customHeight="1">
      <c r="H29" s="1"/>
      <c r="I29" s="79" t="s">
        <v>66</v>
      </c>
      <c r="J29" s="76"/>
      <c r="K29" s="1"/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:J2"/>
    <mergeCell ref="A8:C8"/>
    <mergeCell ref="I21:J21"/>
  </mergeCells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I19"/>
  <sheetViews>
    <sheetView workbookViewId="0"/>
  </sheetViews>
  <sheetFormatPr defaultColWidth="14.42578125" defaultRowHeight="15" customHeight="1"/>
  <cols>
    <col min="1" max="1" width="3.85546875" customWidth="1"/>
    <col min="2" max="2" width="44.28515625" customWidth="1"/>
    <col min="3" max="4" width="18.28515625" customWidth="1"/>
    <col min="5" max="6" width="17.7109375" customWidth="1"/>
    <col min="9" max="9" width="29.28515625" customWidth="1"/>
  </cols>
  <sheetData>
    <row r="1" spans="1:9">
      <c r="A1" s="1"/>
      <c r="B1" s="3"/>
      <c r="C1" s="3"/>
      <c r="D1" s="3"/>
      <c r="E1" s="1"/>
      <c r="F1" s="1"/>
    </row>
    <row r="2" spans="1:9">
      <c r="A2" s="1"/>
      <c r="B2" s="66" t="s">
        <v>0</v>
      </c>
      <c r="C2" s="7" t="s">
        <v>1</v>
      </c>
      <c r="D2" s="9" t="s">
        <v>2</v>
      </c>
      <c r="E2" s="11" t="s">
        <v>3</v>
      </c>
      <c r="F2" s="66" t="s">
        <v>4</v>
      </c>
      <c r="G2" s="66" t="s">
        <v>5</v>
      </c>
      <c r="H2" s="66" t="s">
        <v>6</v>
      </c>
      <c r="I2" s="66" t="s">
        <v>7</v>
      </c>
    </row>
    <row r="3" spans="1:9">
      <c r="A3" s="3"/>
      <c r="B3" s="13" t="s">
        <v>8</v>
      </c>
      <c r="C3" s="67"/>
      <c r="D3" s="68"/>
      <c r="E3" s="20">
        <f t="shared" ref="E3:E17" si="0">D3-C3</f>
        <v>0</v>
      </c>
      <c r="F3" s="22">
        <v>0</v>
      </c>
      <c r="G3" s="22">
        <v>0</v>
      </c>
      <c r="H3" s="22">
        <f t="shared" ref="H3:H17" si="1">G3-F3</f>
        <v>0</v>
      </c>
    </row>
    <row r="4" spans="1:9">
      <c r="A4" s="28"/>
      <c r="B4" s="13" t="s">
        <v>27</v>
      </c>
      <c r="C4" s="67"/>
      <c r="D4" s="68"/>
      <c r="E4" s="20">
        <f t="shared" si="0"/>
        <v>0</v>
      </c>
      <c r="F4" s="22">
        <v>0</v>
      </c>
      <c r="G4" s="22">
        <v>0</v>
      </c>
      <c r="H4" s="22">
        <f t="shared" si="1"/>
        <v>0</v>
      </c>
    </row>
    <row r="5" spans="1:9">
      <c r="A5" s="28"/>
      <c r="B5" s="13" t="s">
        <v>28</v>
      </c>
      <c r="C5" s="67"/>
      <c r="D5" s="68"/>
      <c r="E5" s="20">
        <f t="shared" si="0"/>
        <v>0</v>
      </c>
      <c r="F5" s="22">
        <v>0</v>
      </c>
      <c r="G5" s="22">
        <v>0</v>
      </c>
      <c r="H5" s="22">
        <f t="shared" si="1"/>
        <v>0</v>
      </c>
    </row>
    <row r="6" spans="1:9">
      <c r="A6" s="28"/>
      <c r="B6" s="13" t="s">
        <v>31</v>
      </c>
      <c r="C6" s="67"/>
      <c r="D6" s="68"/>
      <c r="E6" s="20">
        <f t="shared" si="0"/>
        <v>0</v>
      </c>
      <c r="F6" s="22">
        <v>0</v>
      </c>
      <c r="G6" s="22">
        <v>0</v>
      </c>
      <c r="H6" s="22">
        <f t="shared" si="1"/>
        <v>0</v>
      </c>
    </row>
    <row r="7" spans="1:9">
      <c r="A7" s="28"/>
      <c r="B7" s="13" t="s">
        <v>32</v>
      </c>
      <c r="C7" s="67"/>
      <c r="D7" s="68"/>
      <c r="E7" s="20">
        <f t="shared" si="0"/>
        <v>0</v>
      </c>
      <c r="F7" s="22">
        <v>0</v>
      </c>
      <c r="G7" s="22">
        <v>0</v>
      </c>
      <c r="H7" s="22">
        <f t="shared" si="1"/>
        <v>0</v>
      </c>
    </row>
    <row r="8" spans="1:9">
      <c r="A8" s="28"/>
      <c r="B8" s="13" t="s">
        <v>33</v>
      </c>
      <c r="C8" s="67"/>
      <c r="D8" s="68"/>
      <c r="E8" s="20">
        <f t="shared" si="0"/>
        <v>0</v>
      </c>
      <c r="F8" s="22">
        <v>0</v>
      </c>
      <c r="G8" s="22">
        <v>0</v>
      </c>
      <c r="H8" s="22">
        <f t="shared" si="1"/>
        <v>0</v>
      </c>
    </row>
    <row r="9" spans="1:9">
      <c r="A9" s="28"/>
      <c r="B9" s="13" t="s">
        <v>34</v>
      </c>
      <c r="C9" s="67"/>
      <c r="D9" s="68"/>
      <c r="E9" s="20">
        <f t="shared" si="0"/>
        <v>0</v>
      </c>
      <c r="F9" s="22">
        <v>0</v>
      </c>
      <c r="G9" s="22">
        <v>0</v>
      </c>
      <c r="H9" s="22">
        <f t="shared" si="1"/>
        <v>0</v>
      </c>
    </row>
    <row r="10" spans="1:9">
      <c r="A10" s="28"/>
      <c r="B10" s="13" t="s">
        <v>35</v>
      </c>
      <c r="C10" s="67"/>
      <c r="D10" s="68"/>
      <c r="E10" s="20">
        <f t="shared" si="0"/>
        <v>0</v>
      </c>
      <c r="F10" s="22">
        <v>0</v>
      </c>
      <c r="G10" s="22">
        <v>0</v>
      </c>
      <c r="H10" s="22">
        <f t="shared" si="1"/>
        <v>0</v>
      </c>
    </row>
    <row r="11" spans="1:9">
      <c r="A11" s="28"/>
      <c r="B11" s="13" t="s">
        <v>36</v>
      </c>
      <c r="C11" s="67"/>
      <c r="D11" s="68"/>
      <c r="E11" s="20">
        <f t="shared" si="0"/>
        <v>0</v>
      </c>
      <c r="F11" s="22">
        <v>0</v>
      </c>
      <c r="G11" s="22">
        <v>0</v>
      </c>
      <c r="H11" s="22">
        <f t="shared" si="1"/>
        <v>0</v>
      </c>
    </row>
    <row r="12" spans="1:9">
      <c r="A12" s="28"/>
      <c r="B12" s="13" t="s">
        <v>38</v>
      </c>
      <c r="C12" s="67"/>
      <c r="D12" s="68"/>
      <c r="E12" s="20">
        <f t="shared" si="0"/>
        <v>0</v>
      </c>
      <c r="F12" s="22">
        <v>0</v>
      </c>
      <c r="G12" s="22">
        <v>0</v>
      </c>
      <c r="H12" s="22">
        <f t="shared" si="1"/>
        <v>0</v>
      </c>
    </row>
    <row r="13" spans="1:9">
      <c r="A13" s="28"/>
      <c r="B13" s="13" t="s">
        <v>39</v>
      </c>
      <c r="C13" s="67"/>
      <c r="D13" s="68"/>
      <c r="E13" s="20">
        <f t="shared" si="0"/>
        <v>0</v>
      </c>
      <c r="F13" s="22">
        <v>0</v>
      </c>
      <c r="G13" s="22">
        <v>0</v>
      </c>
      <c r="H13" s="22">
        <f t="shared" si="1"/>
        <v>0</v>
      </c>
    </row>
    <row r="14" spans="1:9">
      <c r="A14" s="28"/>
      <c r="B14" s="13" t="s">
        <v>40</v>
      </c>
      <c r="C14" s="67"/>
      <c r="D14" s="68"/>
      <c r="E14" s="20">
        <f t="shared" si="0"/>
        <v>0</v>
      </c>
      <c r="F14" s="22">
        <v>0</v>
      </c>
      <c r="G14" s="22">
        <v>0</v>
      </c>
      <c r="H14" s="22">
        <f t="shared" si="1"/>
        <v>0</v>
      </c>
    </row>
    <row r="15" spans="1:9">
      <c r="A15" s="28"/>
      <c r="B15" s="13" t="s">
        <v>41</v>
      </c>
      <c r="C15" s="67"/>
      <c r="D15" s="68"/>
      <c r="E15" s="20">
        <f t="shared" si="0"/>
        <v>0</v>
      </c>
      <c r="F15" s="22">
        <v>0</v>
      </c>
      <c r="G15" s="22">
        <v>0</v>
      </c>
      <c r="H15" s="22">
        <f t="shared" si="1"/>
        <v>0</v>
      </c>
    </row>
    <row r="16" spans="1:9">
      <c r="A16" s="28"/>
      <c r="B16" s="13" t="s">
        <v>42</v>
      </c>
      <c r="C16" s="67"/>
      <c r="D16" s="68"/>
      <c r="E16" s="20">
        <f t="shared" si="0"/>
        <v>0</v>
      </c>
      <c r="F16" s="22">
        <v>0</v>
      </c>
      <c r="G16" s="22">
        <v>0</v>
      </c>
      <c r="H16" s="22">
        <f t="shared" si="1"/>
        <v>0</v>
      </c>
    </row>
    <row r="17" spans="1:8">
      <c r="A17" s="28"/>
      <c r="B17" s="13" t="s">
        <v>43</v>
      </c>
      <c r="C17" s="67"/>
      <c r="D17" s="68"/>
      <c r="E17" s="20">
        <f t="shared" si="0"/>
        <v>0</v>
      </c>
      <c r="F17" s="22">
        <v>0</v>
      </c>
      <c r="G17" s="22">
        <v>0</v>
      </c>
      <c r="H17" s="22">
        <f t="shared" si="1"/>
        <v>0</v>
      </c>
    </row>
    <row r="18" spans="1:8">
      <c r="A18" s="28"/>
      <c r="B18" s="1"/>
      <c r="C18" s="49"/>
      <c r="D18" s="49"/>
      <c r="E18" s="28"/>
      <c r="F18" s="28"/>
      <c r="G18" s="28"/>
      <c r="H18" s="22">
        <f>SUM(H3:H17)</f>
        <v>0</v>
      </c>
    </row>
    <row r="19" spans="1:8">
      <c r="A19" s="28"/>
      <c r="B19" s="1"/>
      <c r="C19" s="49"/>
      <c r="D19" s="49"/>
      <c r="E19" s="28"/>
      <c r="F19" s="28"/>
      <c r="G19" s="28"/>
      <c r="H19" s="28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HOM</vt:lpstr>
      <vt:lpstr>H1</vt:lpstr>
      <vt:lpstr>PRD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2026-09-02T13:07:21Z</dcterms:modified>
</cp:coreProperties>
</file>